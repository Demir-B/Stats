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mir\OneDrive\Documents\Raphael Work Folder\Shared Folder\Black_Scholes_and_Monte_Carlo\"/>
    </mc:Choice>
  </mc:AlternateContent>
  <xr:revisionPtr revIDLastSave="0" documentId="13_ncr:1_{51AA7FD5-A8BA-4A67-9E9F-724B334698F3}" xr6:coauthVersionLast="47" xr6:coauthVersionMax="47" xr10:uidLastSave="{00000000-0000-0000-0000-000000000000}"/>
  <bookViews>
    <workbookView xWindow="14295" yWindow="0" windowWidth="14610" windowHeight="15585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black_schol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cnd">
          <x14:argumentDescriptions count="1">
            <x14:argumentDescription index="0">Positional argument 1</x14:argumentDescription>
          </x14:argumentDescriptions>
        </x14:definedName>
        <x14:definedName name="monte_carlo_option_pricing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1" l="1" a="1"/>
  <c r="D6" i="1"/>
  <c r="C6" i="1" a="1"/>
  <c r="C6" i="1"/>
  <c r="A6" i="1" a="1"/>
  <c r="A6" i="1"/>
  <c r="B6" i="1" a="1"/>
  <c r="B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<sst xmlns="http://schemas.openxmlformats.org/spreadsheetml/2006/main" count="27" uniqueCount="25">
  <si>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</si>
  <si>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</si>
  <si>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</si>
  <si>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</si>
  <si>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</si>
  <si>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</si>
  <si>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</si>
  <si>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</si>
  <si>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</si>
  <si>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</si>
  <si>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</si>
  <si>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</si>
  <si>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</si>
  <si>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</si>
  <si>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</si>
  <si>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Price</t>
  </si>
  <si>
    <t>Strike</t>
  </si>
  <si>
    <t>Maturity (Year)</t>
  </si>
  <si>
    <t>Risk-Free Rate</t>
  </si>
  <si>
    <t>Volatility</t>
  </si>
  <si>
    <t>Num Simulations</t>
  </si>
  <si>
    <t>Black Scholes</t>
  </si>
  <si>
    <t>Monte Carlo</t>
  </si>
  <si>
    <t>Call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</si>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</sst>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"/>
  <sheetViews>
    <sheetView tabSelected="1" workbookViewId="0">
      <selection activeCell="D7" sqref="D7"/>
    </sheetView>
  </sheetViews>
  <sheetFormatPr defaultColWidth="11" defaultRowHeight="15.75" x14ac:dyDescent="0.25"/>
  <cols>
    <col min="3" max="3" width="13.25" bestFit="1" customWidth="1"/>
    <col min="4" max="4" width="12.625" bestFit="1" customWidth="1"/>
    <col min="5" max="5" width="8.125" bestFit="1" customWidth="1"/>
    <col min="6" max="6" width="14.625" bestFit="1" customWidth="1"/>
  </cols>
  <sheetData>
    <row r="1" spans="1:6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>
        <v>100</v>
      </c>
      <c r="B2">
        <v>110</v>
      </c>
      <c r="C2">
        <v>1</v>
      </c>
      <c r="D2">
        <v>0.05</v>
      </c>
      <c r="E2">
        <v>0.2</v>
      </c>
      <c r="F2">
        <v>100000</v>
      </c>
    </row>
    <row r="4" spans="1:6" x14ac:dyDescent="0.25">
      <c r="A4" t="s">
        <v>21</v>
      </c>
      <c r="C4" t="s">
        <v>22</v>
      </c>
    </row>
    <row r="5" spans="1:6" x14ac:dyDescent="0.25">
      <c r="A5" t="s">
        <v>23</v>
      </c>
      <c r="B5" t="s">
        <v>24</v>
      </c>
      <c r="C5" t="s">
        <v>23</v>
      </c>
      <c r="D5" t="s">
        <v>24</v>
      </c>
    </row>
    <row r="6" spans="1:6" x14ac:dyDescent="0.25">
      <c r="A6" cm="1">
        <f t="array" ref="A6">black_scholes(A$2,B$2,C$2,D$2,E$2,"call")</f>
        <v>6.040088129724225</v>
      </c>
      <c r="B6" cm="1">
        <f t="array" ref="B6">black_scholes(A$2,B$2,C$2,D$2,E$2,"put")</f>
        <v>10.675324824802779</v>
      </c>
      <c r="C6" cm="1">
        <f t="array" ref="C6">monte_carlo_option_pricing(A$2,B$2,C$2,D$2,E$2,,"call")</f>
        <v>6.0729838555473652</v>
      </c>
      <c r="D6" cm="1">
        <f t="array" ref="D6">monte_carlo_option_pricing(A$2,B$2,C$2,D$2,E$2,,"put")</f>
        <v>10.681756816410816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BIBEZIC, DEMIR (UG)</cp:lastModifiedBy>
  <dcterms:created xsi:type="dcterms:W3CDTF">2015-01-25T11:31:25Z</dcterms:created>
  <dcterms:modified xsi:type="dcterms:W3CDTF">2025-01-11T12:59:52Z</dcterms:modified>
</cp:coreProperties>
</file>